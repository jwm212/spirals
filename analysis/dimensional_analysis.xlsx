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mcdermott/Library/CloudStorage/OneDrive-NaturalHistoryMuseum/James Data - Documents/spirals/analysis/"/>
    </mc:Choice>
  </mc:AlternateContent>
  <xr:revisionPtr revIDLastSave="0" documentId="13_ncr:1_{1054758E-37A2-4F45-A589-8CC3892CDE15}" xr6:coauthVersionLast="47" xr6:coauthVersionMax="47" xr10:uidLastSave="{00000000-0000-0000-0000-000000000000}"/>
  <bookViews>
    <workbookView xWindow="3640" yWindow="1600" windowWidth="28040" windowHeight="17180" xr2:uid="{80F767F6-AA8E-4F43-877A-610A2A0D78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8" i="1" s="1"/>
  <c r="F3" i="1"/>
  <c r="G3" i="1" s="1"/>
  <c r="F4" i="1"/>
  <c r="G4" i="1" s="1"/>
  <c r="F5" i="1"/>
  <c r="G5" i="1" s="1"/>
  <c r="F6" i="1"/>
  <c r="G6" i="1" s="1"/>
  <c r="F7" i="1"/>
  <c r="G7" i="1" s="1"/>
  <c r="F2" i="1"/>
  <c r="G2" i="1" s="1"/>
  <c r="D7" i="1"/>
  <c r="D3" i="1"/>
  <c r="D4" i="1"/>
  <c r="D5" i="1"/>
  <c r="D6" i="1"/>
  <c r="D8" i="1"/>
  <c r="D2" i="1"/>
</calcChain>
</file>

<file path=xl/sharedStrings.xml><?xml version="1.0" encoding="utf-8"?>
<sst xmlns="http://schemas.openxmlformats.org/spreadsheetml/2006/main" count="19" uniqueCount="19">
  <si>
    <t>taxon</t>
  </si>
  <si>
    <t>Cd</t>
  </si>
  <si>
    <t>A</t>
  </si>
  <si>
    <t>Fd</t>
  </si>
  <si>
    <t>V</t>
  </si>
  <si>
    <t>G'</t>
  </si>
  <si>
    <t>W</t>
  </si>
  <si>
    <t>rho_w</t>
  </si>
  <si>
    <t>rho_calcite</t>
  </si>
  <si>
    <t>f_calcite</t>
  </si>
  <si>
    <t>g</t>
  </si>
  <si>
    <t>U_0</t>
  </si>
  <si>
    <t>Stromatocystites</t>
  </si>
  <si>
    <t>Helicocystis</t>
  </si>
  <si>
    <t>Helicocystis_straight</t>
  </si>
  <si>
    <t>Gogia palmeri</t>
  </si>
  <si>
    <t>Gogia spiralis</t>
  </si>
  <si>
    <t>Kailidiscus</t>
  </si>
  <si>
    <t>Helicoplacus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</si>
</sst>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B5CEA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B9BC-6F31-9145-9A2A-4D1B07FB7EDB}">
  <dimension ref="A1:K8"/>
  <sheetViews>
    <sheetView tabSelected="1" workbookViewId="0">
      <selection activeCell="K6" sqref="K6"/>
    </sheetView>
  </sheetViews>
  <sheetFormatPr baseColWidth="10" defaultRowHeight="16" x14ac:dyDescent="0.2"/>
  <cols>
    <col min="1" max="1" width="1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">
      <c r="A2" t="s">
        <v>12</v>
      </c>
      <c r="B2">
        <v>3.1373087900000001</v>
      </c>
      <c r="C2" s="1">
        <v>1.14E-3</v>
      </c>
      <c r="D2">
        <f>0.5*$K$3*B2*C2*$K$8</f>
        <v>0.18329726605575003</v>
      </c>
      <c r="E2" s="2">
        <v>2.6599999999999999E-5</v>
      </c>
      <c r="F2" s="2">
        <f>$K$5*E2*$K$7*($K$4-$K$3)</f>
        <v>0.43969401000000002</v>
      </c>
      <c r="G2" s="2">
        <f>D2/F2</f>
        <v>0.41687460344467742</v>
      </c>
    </row>
    <row r="3" spans="1:11" x14ac:dyDescent="0.2">
      <c r="A3" t="s">
        <v>17</v>
      </c>
      <c r="B3">
        <v>2.6560043200000001</v>
      </c>
      <c r="C3" s="1">
        <v>1.06E-3</v>
      </c>
      <c r="D3">
        <f t="shared" ref="D3:D8" si="0">0.5*$K$3*B3*C3*$K$8</f>
        <v>0.14428743468400002</v>
      </c>
      <c r="E3" s="2">
        <v>3.0130000000000001E-5</v>
      </c>
      <c r="F3" s="2">
        <f t="shared" ref="F3:F8" si="1">$K$5*E3*$K$7*($K$4-$K$3)</f>
        <v>0.49804438049999999</v>
      </c>
      <c r="G3" s="2">
        <f t="shared" ref="G3:G8" si="2">D3/F3</f>
        <v>0.28970798654358076</v>
      </c>
      <c r="J3" t="s">
        <v>7</v>
      </c>
      <c r="K3">
        <v>1025</v>
      </c>
    </row>
    <row r="4" spans="1:11" x14ac:dyDescent="0.2">
      <c r="A4" t="s">
        <v>13</v>
      </c>
      <c r="B4">
        <v>2.9137028699999998</v>
      </c>
      <c r="C4" s="1">
        <v>3.3099999999999998E-5</v>
      </c>
      <c r="D4">
        <f t="shared" si="0"/>
        <v>4.9427327060962501E-3</v>
      </c>
      <c r="E4" s="2">
        <v>6.1999999999999999E-8</v>
      </c>
      <c r="F4" s="2">
        <f t="shared" si="1"/>
        <v>1.0248506999999999E-3</v>
      </c>
      <c r="G4" s="2">
        <f t="shared" si="2"/>
        <v>4.8228807436012389</v>
      </c>
      <c r="J4" t="s">
        <v>8</v>
      </c>
      <c r="K4">
        <v>2710</v>
      </c>
    </row>
    <row r="5" spans="1:11" x14ac:dyDescent="0.2">
      <c r="A5" t="s">
        <v>14</v>
      </c>
      <c r="D5">
        <f t="shared" si="0"/>
        <v>0</v>
      </c>
      <c r="E5" s="2">
        <v>6.5E-8</v>
      </c>
      <c r="F5" s="2">
        <f t="shared" si="1"/>
        <v>1.0744402500000002E-3</v>
      </c>
      <c r="G5" s="2">
        <f t="shared" si="2"/>
        <v>0</v>
      </c>
      <c r="J5" t="s">
        <v>9</v>
      </c>
      <c r="K5">
        <v>1</v>
      </c>
    </row>
    <row r="6" spans="1:11" x14ac:dyDescent="0.2">
      <c r="A6" t="s">
        <v>18</v>
      </c>
      <c r="B6">
        <v>2.7242623400000001</v>
      </c>
      <c r="C6" s="1">
        <v>4.4299999999999998E-4</v>
      </c>
      <c r="D6">
        <f t="shared" si="0"/>
        <v>6.185097110177501E-2</v>
      </c>
      <c r="E6" s="2">
        <v>3.9199999999999997E-6</v>
      </c>
      <c r="F6" s="2">
        <f t="shared" si="1"/>
        <v>6.4797012000000001E-2</v>
      </c>
      <c r="G6" s="2">
        <f t="shared" si="2"/>
        <v>0.95453430941807949</v>
      </c>
    </row>
    <row r="7" spans="1:11" x14ac:dyDescent="0.2">
      <c r="A7" t="s">
        <v>15</v>
      </c>
      <c r="B7">
        <v>5.0307044899999998</v>
      </c>
      <c r="C7" s="1">
        <v>7.9199999999999995E-4</v>
      </c>
      <c r="D7">
        <f>0.5*$K$3*B7*C7*$K$8</f>
        <v>0.20419629524909999</v>
      </c>
      <c r="E7" s="2">
        <v>9.0000000000000002E-6</v>
      </c>
      <c r="F7" s="2">
        <f t="shared" si="1"/>
        <v>0.14876865000000003</v>
      </c>
      <c r="G7" s="2">
        <f t="shared" si="2"/>
        <v>1.3725761122998692</v>
      </c>
      <c r="J7" t="s">
        <v>10</v>
      </c>
      <c r="K7">
        <v>9.81</v>
      </c>
    </row>
    <row r="8" spans="1:11" x14ac:dyDescent="0.2">
      <c r="A8" t="s">
        <v>16</v>
      </c>
      <c r="B8">
        <v>4.9219961400000001</v>
      </c>
      <c r="C8" s="1">
        <v>2.8400000000000002E-4</v>
      </c>
      <c r="D8">
        <f t="shared" si="0"/>
        <v>7.1639653817700016E-2</v>
      </c>
      <c r="E8" s="2">
        <v>1.1000000000000001E-6</v>
      </c>
      <c r="F8" s="2">
        <f>$K$5*E8*$K$7*($K$4-$K$3)</f>
        <v>1.8182835000000001E-2</v>
      </c>
      <c r="G8" s="2">
        <f t="shared" si="2"/>
        <v>3.9399606176759572</v>
      </c>
      <c r="J8" t="s">
        <v>11</v>
      </c>
      <c r="K8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25E9C4F31AA5429601587EC975D6D8" ma:contentTypeVersion="11" ma:contentTypeDescription="Create a new document." ma:contentTypeScope="" ma:versionID="bd590e65a47252c9bf466ef1da389fa6">
  <xsd:schema xmlns:xsd="http://www.w3.org/2001/XMLSchema" xmlns:xs="http://www.w3.org/2001/XMLSchema" xmlns:p="http://schemas.microsoft.com/office/2006/metadata/properties" xmlns:ns2="5504083c-ad06-4642-bcab-5f3dc6e93981" xmlns:ns3="3bc97184-a98d-4ad7-bf6a-b5e2a9ec5788" targetNamespace="http://schemas.microsoft.com/office/2006/metadata/properties" ma:root="true" ma:fieldsID="e5b14327dabdf4f1ce85503a8b1bc1cd" ns2:_="" ns3:_="">
    <xsd:import namespace="5504083c-ad06-4642-bcab-5f3dc6e93981"/>
    <xsd:import namespace="3bc97184-a98d-4ad7-bf6a-b5e2a9ec57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4083c-ad06-4642-bcab-5f3dc6e93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c631306-648b-4820-82d0-96e9415871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7184-a98d-4ad7-bf6a-b5e2a9ec578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263f089-4b96-49f7-a8c4-0c1c2a6612f8}" ma:internalName="TaxCatchAll" ma:showField="CatchAllData" ma:web="3bc97184-a98d-4ad7-bf6a-b5e2a9ec57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c97184-a98d-4ad7-bf6a-b5e2a9ec5788" xsi:nil="true"/>
    <lcf76f155ced4ddcb4097134ff3c332f xmlns="5504083c-ad06-4642-bcab-5f3dc6e939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E311D9-F333-4AEB-BB38-570B6DA1DD49}"/>
</file>

<file path=customXml/itemProps2.xml><?xml version="1.0" encoding="utf-8"?>
<ds:datastoreItem xmlns:ds="http://schemas.openxmlformats.org/officeDocument/2006/customXml" ds:itemID="{E85877FB-2B47-491B-8154-B535F0ABA28A}"/>
</file>

<file path=customXml/itemProps3.xml><?xml version="1.0" encoding="utf-8"?>
<ds:datastoreItem xmlns:ds="http://schemas.openxmlformats.org/officeDocument/2006/customXml" ds:itemID="{D0443330-0BB1-44A2-95FD-A33BF24C2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McDermott, James</dc:creator>
  <cp:lastModifiedBy>McDermott, James</cp:lastModifiedBy>
  <dcterms:created xsi:type="dcterms:W3CDTF">2026-02-26T09:00:58Z</dcterms:created>
  <dcterms:modified xsi:type="dcterms:W3CDTF">2026-02-26T10:48:47Z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0x0101008425E9C4F31AA5429601587EC975D6D8</vt:lpwstr>
  </property>
</Properties>
</file>